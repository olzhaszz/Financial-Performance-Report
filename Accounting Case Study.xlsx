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xr:revisionPtr revIDLastSave="0" documentId="8_{9D921E33-33FC-4708-9158-3D484C325823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T-accounts" sheetId="3" r:id="rId1"/>
    <sheet name="Trial Balance" sheetId="4" r:id="rId2"/>
    <sheet name="Income Statement" sheetId="5" r:id="rId3"/>
    <sheet name="Changes in Equity statement" sheetId="6" r:id="rId4"/>
    <sheet name="Balance Sheet" sheetId="7" r:id="rId5"/>
  </sheets>
  <definedNames>
    <definedName name="_xlnm._FilterDatabase" localSheetId="2" hidden="1">'Income Statement'!$B$4:$B$14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B12" i="5"/>
  <c r="CG42" i="3"/>
  <c r="CF42" i="3"/>
  <c r="C50" i="3"/>
  <c r="C14" i="6"/>
  <c r="C28" i="4"/>
  <c r="D28" i="4"/>
  <c r="C15" i="6"/>
  <c r="C22" i="7"/>
  <c r="B50" i="3"/>
  <c r="F7" i="7"/>
  <c r="F10" i="7"/>
  <c r="C5" i="7"/>
  <c r="C14" i="7"/>
  <c r="C2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tc={BFB71CED-23AB-4669-8D52-5CD491624C44}</author>
  </authors>
  <commentList>
    <comment ref="B13" authorId="0" shapeId="0" xr:uid="{BFB71CED-23AB-4669-8D52-5CD491624C44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Operating Loss: 
Gross Profit - Operating Expense
$192 - $1515 = -$1323</t>
      </text>
    </comment>
  </commentList>
</comments>
</file>

<file path=xl/sharedStrings.xml><?xml version="1.0" encoding="utf-8"?>
<sst xmlns="http://schemas.openxmlformats.org/spreadsheetml/2006/main" count="286" uniqueCount="100">
  <si>
    <t>A/R</t>
  </si>
  <si>
    <t>Petty Cash</t>
  </si>
  <si>
    <t>Website</t>
  </si>
  <si>
    <t>Administrative expenses</t>
  </si>
  <si>
    <t>Inventory</t>
  </si>
  <si>
    <t>Personal Income Tax</t>
  </si>
  <si>
    <t>Capital</t>
  </si>
  <si>
    <t>Revenue</t>
  </si>
  <si>
    <t>Loans Payable</t>
  </si>
  <si>
    <t>SC Expense</t>
  </si>
  <si>
    <t>Purchases</t>
  </si>
  <si>
    <t>Bank</t>
  </si>
  <si>
    <t>Equipment</t>
  </si>
  <si>
    <t>Input VAT</t>
  </si>
  <si>
    <t>Output VAT</t>
  </si>
  <si>
    <t>VAT Paid</t>
  </si>
  <si>
    <t>COGS</t>
  </si>
  <si>
    <t>Discount Given</t>
  </si>
  <si>
    <t>A/P</t>
  </si>
  <si>
    <t>Utility bill</t>
  </si>
  <si>
    <t>Discount Expense</t>
  </si>
  <si>
    <t>Salary Payable</t>
  </si>
  <si>
    <t>SC Payable</t>
  </si>
  <si>
    <t>Taxes Payable</t>
  </si>
  <si>
    <t>Dr</t>
  </si>
  <si>
    <t>Cr</t>
  </si>
  <si>
    <t> </t>
  </si>
  <si>
    <t>Debit:</t>
  </si>
  <si>
    <t>Credit:</t>
  </si>
  <si>
    <t>Check:</t>
  </si>
  <si>
    <t>Trial Balance</t>
  </si>
  <si>
    <t>№</t>
  </si>
  <si>
    <t>T-Accounts</t>
  </si>
  <si>
    <t>Administrative expense</t>
  </si>
  <si>
    <t>Selling expenses</t>
  </si>
  <si>
    <t xml:space="preserve">Revenue </t>
  </si>
  <si>
    <t>Loans payable</t>
  </si>
  <si>
    <t>Tax payable</t>
  </si>
  <si>
    <t>Total</t>
  </si>
  <si>
    <t xml:space="preserve">Income Statement </t>
  </si>
  <si>
    <t>(In $)</t>
  </si>
  <si>
    <t xml:space="preserve">Sales( revenues) </t>
  </si>
  <si>
    <t>Gross Profit</t>
  </si>
  <si>
    <t>Operating expense</t>
  </si>
  <si>
    <t>Utility Bill</t>
  </si>
  <si>
    <t>Total Operating Expense</t>
  </si>
  <si>
    <t>Operating Profit/Loss</t>
  </si>
  <si>
    <t xml:space="preserve">Net Loss </t>
  </si>
  <si>
    <t>Statement of changes in equity</t>
  </si>
  <si>
    <t>Particulars</t>
  </si>
  <si>
    <t>Amount (USD)</t>
  </si>
  <si>
    <t>Opening Capital</t>
  </si>
  <si>
    <t>Net Income Calculation:</t>
  </si>
  <si>
    <t>- Revenue</t>
  </si>
  <si>
    <t>- Less: Cost of Goods Sold (COGS)</t>
  </si>
  <si>
    <t>- Less: Utility bill</t>
  </si>
  <si>
    <t>- Less: Rental fee</t>
  </si>
  <si>
    <t>- Less: Administrative expense</t>
  </si>
  <si>
    <t>- Less: Personal income tax</t>
  </si>
  <si>
    <t>- Less: SC Expense</t>
  </si>
  <si>
    <t>Net Income (Loss)</t>
  </si>
  <si>
    <t>Closing Equity</t>
  </si>
  <si>
    <t>Ms Bookworm's business: Statement of financial position as at 31 March 2023 (in $)</t>
  </si>
  <si>
    <t>Non-current assets</t>
  </si>
  <si>
    <t>in $</t>
  </si>
  <si>
    <t>Current Liabilities</t>
  </si>
  <si>
    <t>intangible assets</t>
  </si>
  <si>
    <t>tangible assets</t>
  </si>
  <si>
    <t>cash</t>
  </si>
  <si>
    <t>bank</t>
  </si>
  <si>
    <t>inventory</t>
  </si>
  <si>
    <t>receivable</t>
  </si>
  <si>
    <t>input vat</t>
  </si>
  <si>
    <t>account payable</t>
  </si>
  <si>
    <t xml:space="preserve">loans </t>
  </si>
  <si>
    <t>output vat</t>
  </si>
  <si>
    <t>expenses</t>
  </si>
  <si>
    <t>revenue -</t>
  </si>
  <si>
    <t>capital</t>
  </si>
  <si>
    <t>Non-current tangible assets:</t>
  </si>
  <si>
    <t>Accounts Payable</t>
  </si>
  <si>
    <t>Equipment:</t>
  </si>
  <si>
    <t>Computer set</t>
  </si>
  <si>
    <t>Total Current Liabilities</t>
  </si>
  <si>
    <t>Cash register</t>
  </si>
  <si>
    <t>Long-Term Liabilities</t>
  </si>
  <si>
    <t>Bookshelves</t>
  </si>
  <si>
    <t>Coffee machine</t>
  </si>
  <si>
    <t>Total Liabilities</t>
  </si>
  <si>
    <t>Coffee table and chairs</t>
  </si>
  <si>
    <t>Non-current intangible assets:</t>
  </si>
  <si>
    <t>Total non-current assets</t>
  </si>
  <si>
    <t>Current assets:</t>
  </si>
  <si>
    <t>Owner's Equity</t>
  </si>
  <si>
    <t>Accounts Receivable</t>
  </si>
  <si>
    <t>Retained Earnings</t>
  </si>
  <si>
    <t>Total current assets</t>
  </si>
  <si>
    <t>Total Equity</t>
  </si>
  <si>
    <t>Total Assets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</si>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</sst>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1" formatCode="_(* #,##0_);_(* \(#,##0\);_(* &quot;-&quot;_);_(@_)"/>
  </numFmts>
  <fonts count="2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B050"/>
      <name val="Calibri"/>
    </font>
    <font>
      <sz val="11"/>
      <color rgb="FFFF0000"/>
      <name val="Calibri"/>
    </font>
    <font>
      <b/>
      <sz val="11"/>
      <color rgb="FF000000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sz val="11"/>
      <color theme="1"/>
      <name val="Calibri"/>
    </font>
    <font>
      <b/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1" fontId="4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1" fontId="3" fillId="0" borderId="7" xfId="0" applyNumberFormat="1" applyFont="1" applyBorder="1" applyAlignment="1">
      <alignment horizontal="center"/>
    </xf>
    <xf numFmtId="41" fontId="2" fillId="0" borderId="7" xfId="0" applyNumberFormat="1" applyFont="1" applyBorder="1" applyAlignment="1">
      <alignment horizontal="center"/>
    </xf>
    <xf numFmtId="41" fontId="3" fillId="0" borderId="0" xfId="0" applyNumberFormat="1" applyFont="1" applyAlignment="1">
      <alignment horizontal="center"/>
    </xf>
    <xf numFmtId="0" fontId="0" fillId="2" borderId="0" xfId="0" applyFill="1"/>
    <xf numFmtId="0" fontId="9" fillId="2" borderId="0" xfId="0" applyFont="1" applyFill="1"/>
    <xf numFmtId="0" fontId="1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quotePrefix="1"/>
    <xf numFmtId="6" fontId="10" fillId="0" borderId="0" xfId="0" applyNumberFormat="1" applyFont="1"/>
    <xf numFmtId="3" fontId="0" fillId="0" borderId="0" xfId="0" applyNumberFormat="1"/>
    <xf numFmtId="0" fontId="0" fillId="5" borderId="0" xfId="0" applyFill="1"/>
    <xf numFmtId="41" fontId="7" fillId="0" borderId="7" xfId="0" applyNumberFormat="1" applyFont="1" applyBorder="1" applyAlignment="1">
      <alignment horizontal="center"/>
    </xf>
    <xf numFmtId="0" fontId="16" fillId="5" borderId="0" xfId="0" applyFont="1" applyFill="1"/>
    <xf numFmtId="0" fontId="17" fillId="2" borderId="0" xfId="0" applyFont="1" applyFill="1"/>
    <xf numFmtId="0" fontId="10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14" fillId="5" borderId="0" xfId="0" quotePrefix="1" applyFont="1" applyFill="1" applyAlignment="1">
      <alignment horizontal="right"/>
    </xf>
    <xf numFmtId="0" fontId="14" fillId="5" borderId="0" xfId="0" applyFont="1" applyFill="1"/>
    <xf numFmtId="0" fontId="0" fillId="5" borderId="0" xfId="0" quotePrefix="1" applyFill="1"/>
    <xf numFmtId="6" fontId="0" fillId="5" borderId="0" xfId="0" applyNumberFormat="1" applyFill="1" applyAlignment="1">
      <alignment horizontal="right"/>
    </xf>
    <xf numFmtId="6" fontId="10" fillId="5" borderId="0" xfId="0" applyNumberFormat="1" applyFont="1" applyFill="1" applyAlignment="1">
      <alignment horizontal="left"/>
    </xf>
    <xf numFmtId="6" fontId="15" fillId="5" borderId="0" xfId="0" applyNumberFormat="1" applyFont="1" applyFill="1"/>
    <xf numFmtId="6" fontId="0" fillId="5" borderId="0" xfId="0" applyNumberFormat="1" applyFill="1"/>
    <xf numFmtId="0" fontId="0" fillId="5" borderId="0" xfId="0" quotePrefix="1" applyFill="1" applyAlignment="1">
      <alignment horizontal="left"/>
    </xf>
    <xf numFmtId="0" fontId="0" fillId="5" borderId="0" xfId="0" quotePrefix="1" applyFill="1" applyAlignment="1">
      <alignment horizontal="right"/>
    </xf>
    <xf numFmtId="0" fontId="8" fillId="5" borderId="0" xfId="0" quotePrefix="1" applyFont="1" applyFill="1" applyAlignment="1">
      <alignment horizontal="left"/>
    </xf>
    <xf numFmtId="0" fontId="8" fillId="5" borderId="0" xfId="0" applyFont="1" applyFill="1"/>
    <xf numFmtId="0" fontId="11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7" xfId="0" applyFont="1" applyBorder="1" applyAlignment="1">
      <alignment wrapText="1"/>
    </xf>
    <xf numFmtId="0" fontId="0" fillId="0" borderId="7" xfId="0" quotePrefix="1" applyBorder="1" applyAlignment="1">
      <alignment horizontal="right" wrapText="1"/>
    </xf>
    <xf numFmtId="0" fontId="0" fillId="0" borderId="7" xfId="0" quotePrefix="1" applyBorder="1" applyAlignment="1">
      <alignment horizontal="right"/>
    </xf>
    <xf numFmtId="0" fontId="10" fillId="0" borderId="7" xfId="0" quotePrefix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1" fontId="0" fillId="0" borderId="7" xfId="0" applyNumberFormat="1" applyBorder="1"/>
    <xf numFmtId="0" fontId="0" fillId="0" borderId="11" xfId="0" applyBorder="1"/>
    <xf numFmtId="0" fontId="0" fillId="0" borderId="12" xfId="0" applyBorder="1"/>
    <xf numFmtId="0" fontId="8" fillId="0" borderId="11" xfId="0" quotePrefix="1" applyFont="1" applyBorder="1" applyAlignment="1">
      <alignment horizontal="left"/>
    </xf>
    <xf numFmtId="0" fontId="8" fillId="0" borderId="12" xfId="0" applyFont="1" applyBorder="1"/>
    <xf numFmtId="0" fontId="0" fillId="5" borderId="11" xfId="0" applyFill="1" applyBorder="1"/>
    <xf numFmtId="0" fontId="0" fillId="5" borderId="12" xfId="0" applyFill="1" applyBorder="1"/>
    <xf numFmtId="6" fontId="18" fillId="0" borderId="11" xfId="0" applyNumberFormat="1" applyFont="1" applyBorder="1"/>
    <xf numFmtId="0" fontId="9" fillId="0" borderId="12" xfId="0" applyFont="1" applyBorder="1"/>
    <xf numFmtId="0" fontId="15" fillId="0" borderId="13" xfId="0" applyFon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/>
    <xf numFmtId="6" fontId="0" fillId="0" borderId="15" xfId="0" applyNumberFormat="1" applyBorder="1" applyAlignment="1">
      <alignment horizontal="right"/>
    </xf>
    <xf numFmtId="6" fontId="15" fillId="5" borderId="15" xfId="0" applyNumberFormat="1" applyFont="1" applyFill="1" applyBorder="1" applyAlignment="1">
      <alignment horizontal="left"/>
    </xf>
    <xf numFmtId="0" fontId="10" fillId="5" borderId="16" xfId="0" applyFont="1" applyFill="1" applyBorder="1"/>
    <xf numFmtId="6" fontId="19" fillId="0" borderId="15" xfId="0" applyNumberFormat="1" applyFont="1" applyBorder="1" applyAlignment="1">
      <alignment horizontal="left"/>
    </xf>
    <xf numFmtId="6" fontId="0" fillId="5" borderId="15" xfId="0" applyNumberFormat="1" applyFill="1" applyBorder="1" applyAlignment="1">
      <alignment horizontal="right"/>
    </xf>
    <xf numFmtId="0" fontId="0" fillId="5" borderId="16" xfId="0" applyFill="1" applyBorder="1"/>
    <xf numFmtId="6" fontId="0" fillId="0" borderId="15" xfId="0" applyNumberFormat="1" applyBorder="1"/>
    <xf numFmtId="0" fontId="16" fillId="0" borderId="15" xfId="0" applyFont="1" applyBorder="1"/>
    <xf numFmtId="0" fontId="9" fillId="0" borderId="15" xfId="0" applyFont="1" applyBorder="1"/>
    <xf numFmtId="0" fontId="0" fillId="0" borderId="15" xfId="0" applyBorder="1"/>
    <xf numFmtId="0" fontId="16" fillId="5" borderId="15" xfId="0" applyFont="1" applyFill="1" applyBorder="1"/>
    <xf numFmtId="0" fontId="8" fillId="0" borderId="13" xfId="0" applyFont="1" applyBorder="1"/>
    <xf numFmtId="0" fontId="14" fillId="0" borderId="15" xfId="0" quotePrefix="1" applyFont="1" applyBorder="1" applyAlignment="1">
      <alignment horizontal="right"/>
    </xf>
    <xf numFmtId="0" fontId="14" fillId="0" borderId="16" xfId="0" applyFont="1" applyBorder="1"/>
    <xf numFmtId="0" fontId="0" fillId="0" borderId="15" xfId="0" quotePrefix="1" applyBorder="1" applyAlignment="1">
      <alignment horizontal="left"/>
    </xf>
    <xf numFmtId="0" fontId="0" fillId="5" borderId="15" xfId="0" quotePrefix="1" applyFill="1" applyBorder="1" applyAlignment="1">
      <alignment horizontal="right"/>
    </xf>
    <xf numFmtId="0" fontId="8" fillId="0" borderId="15" xfId="0" applyFont="1" applyBorder="1"/>
    <xf numFmtId="0" fontId="18" fillId="0" borderId="16" xfId="0" applyFont="1" applyBorder="1"/>
    <xf numFmtId="0" fontId="9" fillId="0" borderId="0" xfId="0" applyFont="1"/>
    <xf numFmtId="0" fontId="17" fillId="0" borderId="0" xfId="0" applyFont="1"/>
    <xf numFmtId="41" fontId="20" fillId="0" borderId="7" xfId="0" applyNumberFormat="1" applyFont="1" applyBorder="1" applyAlignment="1">
      <alignment horizontal="center"/>
    </xf>
    <xf numFmtId="0" fontId="10" fillId="0" borderId="17" xfId="0" applyFont="1" applyBorder="1" applyAlignment="1">
      <alignment wrapText="1"/>
    </xf>
    <xf numFmtId="0" fontId="10" fillId="0" borderId="18" xfId="0" applyFont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0" fillId="0" borderId="5" xfId="0" quotePrefix="1" applyBorder="1" applyAlignment="1">
      <alignment wrapText="1"/>
    </xf>
    <xf numFmtId="0" fontId="10" fillId="0" borderId="19" xfId="0" applyFont="1" applyBorder="1" applyAlignment="1">
      <alignment wrapText="1"/>
    </xf>
    <xf numFmtId="0" fontId="13" fillId="0" borderId="20" xfId="0" applyFont="1" applyBorder="1"/>
    <xf numFmtId="0" fontId="19" fillId="0" borderId="0" xfId="0" applyFont="1"/>
    <xf numFmtId="0" fontId="1" fillId="2" borderId="7" xfId="0" applyFont="1" applyFill="1" applyBorder="1" applyAlignment="1">
      <alignment horizontal="center"/>
    </xf>
    <xf numFmtId="41" fontId="4" fillId="0" borderId="7" xfId="0" applyNumberFormat="1" applyFont="1" applyBorder="1" applyAlignment="1">
      <alignment horizontal="center"/>
    </xf>
    <xf numFmtId="41" fontId="4" fillId="0" borderId="8" xfId="0" applyNumberFormat="1" applyFont="1" applyBorder="1" applyAlignment="1">
      <alignment horizontal="center"/>
    </xf>
    <xf numFmtId="41" fontId="4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uletkozha Dairbek" id="{EA9225F0-FC4E-4BC7-A1D7-4F3DCB5318D9}" userId="S::dairbek.dauletkozha@stud.uni-corvinus.hu::15943c8b-9b8b-478f-ad98-cef3887c8e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5-04-01T02:27:07.46" personId="{EA9225F0-FC4E-4BC7-A1D7-4F3DCB5318D9}" id="{BFB71CED-23AB-4669-8D52-5CD491624C44}">
    <text>Operating Loss: 
Gross Profit - Operating Expense
$192 - $1515 = -$1323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C78A-8734-4F26-B1A6-DF5A3648781E}">
  <sheetPr>
    <pageSetUpPr fitToPage="1"/>
  </sheetPr>
  <dimension ref="A1:CX50"/>
  <sheetViews>
    <sheetView topLeftCell="CD1" workbookViewId="0">
      <selection activeCell="X35" sqref="X35"/>
    </sheetView>
  </sheetViews>
  <sheetFormatPr defaultRowHeight="15"/>
  <cols>
    <col min="4" max="4" width="4.5703125" customWidth="1"/>
    <col min="7" max="7" width="4.42578125" customWidth="1"/>
    <col min="10" max="10" width="4.85546875" customWidth="1"/>
    <col min="13" max="13" width="4.42578125" customWidth="1"/>
    <col min="16" max="16" width="4.5703125" customWidth="1"/>
    <col min="19" max="19" width="4.28515625" customWidth="1"/>
    <col min="22" max="22" width="4.5703125" customWidth="1"/>
    <col min="25" max="25" width="4.5703125" customWidth="1"/>
    <col min="28" max="28" width="4.7109375" customWidth="1"/>
    <col min="31" max="31" width="4.7109375" customWidth="1"/>
    <col min="34" max="34" width="4.5703125" customWidth="1"/>
    <col min="37" max="37" width="4.5703125" customWidth="1"/>
    <col min="40" max="40" width="4.5703125" customWidth="1"/>
    <col min="41" max="41" width="9.28515625" bestFit="1" customWidth="1"/>
    <col min="43" max="43" width="4.28515625" customWidth="1"/>
    <col min="46" max="46" width="4.42578125" customWidth="1"/>
    <col min="49" max="49" width="4.7109375" customWidth="1"/>
    <col min="52" max="52" width="4.5703125" customWidth="1"/>
    <col min="55" max="55" width="4.42578125" customWidth="1"/>
    <col min="58" max="58" width="4.7109375" customWidth="1"/>
    <col min="86" max="86" width="10.5703125" customWidth="1"/>
  </cols>
  <sheetData>
    <row r="1" spans="1:102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102">
      <c r="B2" s="111" t="s">
        <v>0</v>
      </c>
      <c r="C2" s="112"/>
      <c r="E2" s="111" t="s">
        <v>1</v>
      </c>
      <c r="F2" s="112"/>
      <c r="H2" s="111" t="s">
        <v>2</v>
      </c>
      <c r="I2" s="112"/>
      <c r="K2" s="111" t="s">
        <v>3</v>
      </c>
      <c r="L2" s="112"/>
      <c r="N2" s="111" t="s">
        <v>4</v>
      </c>
      <c r="O2" s="112"/>
      <c r="Q2" s="108" t="s">
        <v>5</v>
      </c>
      <c r="R2" s="108"/>
      <c r="T2" s="108" t="s">
        <v>6</v>
      </c>
      <c r="U2" s="108"/>
      <c r="V2" s="20"/>
      <c r="W2" s="114" t="s">
        <v>7</v>
      </c>
      <c r="X2" s="115"/>
      <c r="Z2" s="108" t="s">
        <v>8</v>
      </c>
      <c r="AA2" s="108"/>
      <c r="AC2" s="111" t="s">
        <v>9</v>
      </c>
      <c r="AD2" s="112"/>
      <c r="AF2" s="113" t="s">
        <v>10</v>
      </c>
      <c r="AG2" s="113"/>
      <c r="AI2" s="111" t="s">
        <v>11</v>
      </c>
      <c r="AJ2" s="112"/>
      <c r="AL2" s="111" t="s">
        <v>12</v>
      </c>
      <c r="AM2" s="112"/>
      <c r="AO2" s="111" t="s">
        <v>13</v>
      </c>
      <c r="AP2" s="112"/>
      <c r="AR2" s="108" t="s">
        <v>14</v>
      </c>
      <c r="AS2" s="108"/>
      <c r="AU2" s="111" t="s">
        <v>15</v>
      </c>
      <c r="AV2" s="112"/>
      <c r="AX2" s="111" t="s">
        <v>16</v>
      </c>
      <c r="AY2" s="112"/>
      <c r="BA2" s="108" t="s">
        <v>17</v>
      </c>
      <c r="BB2" s="108"/>
      <c r="BD2" s="109" t="s">
        <v>18</v>
      </c>
      <c r="BE2" s="110"/>
      <c r="BG2" s="111" t="s">
        <v>19</v>
      </c>
      <c r="BH2" s="112"/>
      <c r="BJ2" s="108" t="s">
        <v>20</v>
      </c>
      <c r="BK2" s="108"/>
      <c r="BM2" s="108" t="s">
        <v>21</v>
      </c>
      <c r="BN2" s="108"/>
      <c r="BP2" s="108" t="s">
        <v>22</v>
      </c>
      <c r="BQ2" s="108"/>
      <c r="BS2" s="108" t="s">
        <v>23</v>
      </c>
      <c r="BT2" s="108"/>
      <c r="CB2" s="111" t="s">
        <v>0</v>
      </c>
      <c r="CC2" s="112"/>
      <c r="CE2" s="111" t="s">
        <v>1</v>
      </c>
      <c r="CF2" s="112"/>
      <c r="CH2" s="111" t="s">
        <v>2</v>
      </c>
      <c r="CI2" s="112"/>
      <c r="CK2" s="111" t="s">
        <v>3</v>
      </c>
      <c r="CL2" s="112"/>
      <c r="CN2" s="111" t="s">
        <v>4</v>
      </c>
      <c r="CO2" s="112"/>
      <c r="CQ2" s="108" t="s">
        <v>5</v>
      </c>
      <c r="CR2" s="108"/>
      <c r="CT2" s="108" t="s">
        <v>6</v>
      </c>
      <c r="CU2" s="108"/>
      <c r="CV2" s="20"/>
      <c r="CW2" s="114" t="s">
        <v>7</v>
      </c>
      <c r="CX2" s="115"/>
    </row>
    <row r="3" spans="1:102">
      <c r="B3" s="3" t="s">
        <v>24</v>
      </c>
      <c r="C3" s="4" t="s">
        <v>25</v>
      </c>
      <c r="E3" s="3" t="s">
        <v>24</v>
      </c>
      <c r="F3" s="4" t="s">
        <v>25</v>
      </c>
      <c r="H3" s="3" t="s">
        <v>24</v>
      </c>
      <c r="I3" s="4" t="s">
        <v>25</v>
      </c>
      <c r="K3" s="3" t="s">
        <v>24</v>
      </c>
      <c r="L3" s="4" t="s">
        <v>25</v>
      </c>
      <c r="N3" s="3" t="s">
        <v>24</v>
      </c>
      <c r="O3" s="4" t="s">
        <v>25</v>
      </c>
      <c r="Q3" s="98" t="s">
        <v>24</v>
      </c>
      <c r="R3" s="25" t="s">
        <v>25</v>
      </c>
      <c r="T3" s="25" t="s">
        <v>24</v>
      </c>
      <c r="U3" s="26" t="s">
        <v>25</v>
      </c>
      <c r="V3" s="23"/>
      <c r="W3" s="21" t="s">
        <v>24</v>
      </c>
      <c r="X3" s="22" t="s">
        <v>25</v>
      </c>
      <c r="Z3" s="25" t="s">
        <v>24</v>
      </c>
      <c r="AA3" s="26" t="s">
        <v>25</v>
      </c>
      <c r="AC3" s="3" t="s">
        <v>24</v>
      </c>
      <c r="AD3" s="10" t="s">
        <v>25</v>
      </c>
      <c r="AF3" s="13" t="s">
        <v>24</v>
      </c>
      <c r="AG3" s="14" t="s">
        <v>25</v>
      </c>
      <c r="AI3" s="3" t="s">
        <v>24</v>
      </c>
      <c r="AJ3" s="4" t="s">
        <v>25</v>
      </c>
      <c r="AL3" s="3" t="s">
        <v>24</v>
      </c>
      <c r="AM3" s="4" t="s">
        <v>25</v>
      </c>
      <c r="AO3" s="3" t="s">
        <v>24</v>
      </c>
      <c r="AP3" s="4" t="s">
        <v>25</v>
      </c>
      <c r="AR3" s="25" t="s">
        <v>24</v>
      </c>
      <c r="AS3" s="26" t="s">
        <v>25</v>
      </c>
      <c r="AU3" s="5" t="s">
        <v>24</v>
      </c>
      <c r="AV3" s="6" t="s">
        <v>25</v>
      </c>
      <c r="AX3" s="3" t="s">
        <v>24</v>
      </c>
      <c r="AY3" s="4" t="s">
        <v>25</v>
      </c>
      <c r="BA3" s="41" t="s">
        <v>24</v>
      </c>
      <c r="BB3" s="41" t="s">
        <v>25</v>
      </c>
      <c r="BD3" s="25" t="s">
        <v>24</v>
      </c>
      <c r="BE3" s="26" t="s">
        <v>25</v>
      </c>
      <c r="BG3" s="3" t="s">
        <v>24</v>
      </c>
      <c r="BH3" s="4" t="s">
        <v>25</v>
      </c>
      <c r="BJ3" s="25" t="s">
        <v>24</v>
      </c>
      <c r="BK3" s="26" t="s">
        <v>25</v>
      </c>
      <c r="BM3" s="25" t="s">
        <v>24</v>
      </c>
      <c r="BN3" s="26" t="s">
        <v>25</v>
      </c>
      <c r="BP3" s="25" t="s">
        <v>24</v>
      </c>
      <c r="BQ3" s="26" t="s">
        <v>25</v>
      </c>
      <c r="BS3" s="25" t="s">
        <v>24</v>
      </c>
      <c r="BT3" s="26" t="s">
        <v>25</v>
      </c>
      <c r="CB3" s="3" t="s">
        <v>24</v>
      </c>
      <c r="CC3" s="4" t="s">
        <v>25</v>
      </c>
      <c r="CE3" s="3" t="s">
        <v>24</v>
      </c>
      <c r="CF3" s="4" t="s">
        <v>25</v>
      </c>
      <c r="CH3" s="3" t="s">
        <v>24</v>
      </c>
      <c r="CI3" s="4" t="s">
        <v>25</v>
      </c>
      <c r="CK3" s="3" t="s">
        <v>24</v>
      </c>
      <c r="CL3" s="4" t="s">
        <v>25</v>
      </c>
      <c r="CN3" s="3" t="s">
        <v>24</v>
      </c>
      <c r="CO3" s="4" t="s">
        <v>25</v>
      </c>
      <c r="CQ3" s="26" t="s">
        <v>24</v>
      </c>
      <c r="CR3" s="25" t="s">
        <v>25</v>
      </c>
      <c r="CT3" s="25" t="s">
        <v>24</v>
      </c>
      <c r="CU3" s="26" t="s">
        <v>25</v>
      </c>
      <c r="CV3" s="23"/>
      <c r="CW3" s="21" t="s">
        <v>24</v>
      </c>
      <c r="CX3" s="22" t="s">
        <v>25</v>
      </c>
    </row>
    <row r="4" spans="1:102">
      <c r="A4">
        <v>1</v>
      </c>
      <c r="B4" s="5" t="s">
        <v>26</v>
      </c>
      <c r="C4" s="6" t="s">
        <v>26</v>
      </c>
      <c r="E4" s="30">
        <v>10000</v>
      </c>
      <c r="F4" s="6" t="s">
        <v>26</v>
      </c>
      <c r="H4" s="5" t="s">
        <v>26</v>
      </c>
      <c r="I4" s="6" t="s">
        <v>26</v>
      </c>
      <c r="K4" s="64"/>
      <c r="L4" s="6" t="s">
        <v>26</v>
      </c>
      <c r="N4" s="5" t="s">
        <v>26</v>
      </c>
      <c r="O4" s="6" t="s">
        <v>26</v>
      </c>
      <c r="Q4" s="12"/>
      <c r="R4" s="17" t="s">
        <v>26</v>
      </c>
      <c r="T4" s="12"/>
      <c r="U4" s="31">
        <v>10000</v>
      </c>
      <c r="V4" s="9"/>
      <c r="W4" s="12" t="s">
        <v>26</v>
      </c>
      <c r="X4" s="12"/>
      <c r="Z4" s="12"/>
      <c r="AA4" s="17" t="s">
        <v>26</v>
      </c>
      <c r="AC4" s="5"/>
      <c r="AD4" s="11"/>
      <c r="AF4" s="12" t="s">
        <v>26</v>
      </c>
      <c r="AG4" s="12" t="s">
        <v>26</v>
      </c>
      <c r="AI4" s="30"/>
      <c r="AJ4" s="6" t="s">
        <v>26</v>
      </c>
      <c r="AL4" s="5" t="s">
        <v>26</v>
      </c>
      <c r="AM4" s="6" t="s">
        <v>26</v>
      </c>
      <c r="AO4" s="5"/>
      <c r="AP4" s="6" t="s">
        <v>26</v>
      </c>
      <c r="AR4" s="12"/>
      <c r="AS4" s="17" t="s">
        <v>26</v>
      </c>
      <c r="AU4" s="5" t="s">
        <v>26</v>
      </c>
      <c r="AV4" s="6" t="s">
        <v>26</v>
      </c>
      <c r="AX4" s="5" t="s">
        <v>26</v>
      </c>
      <c r="AY4" s="6" t="s">
        <v>26</v>
      </c>
      <c r="BA4" s="12"/>
      <c r="BB4" s="17" t="s">
        <v>26</v>
      </c>
      <c r="BD4" s="12"/>
      <c r="BE4" s="17" t="s">
        <v>26</v>
      </c>
      <c r="BG4" s="5" t="s">
        <v>26</v>
      </c>
      <c r="BH4" s="6" t="s">
        <v>26</v>
      </c>
      <c r="BJ4" s="12"/>
      <c r="BK4" s="17" t="s">
        <v>26</v>
      </c>
      <c r="BM4" s="12"/>
      <c r="BN4" s="17" t="s">
        <v>26</v>
      </c>
      <c r="BP4" s="12"/>
      <c r="BQ4" s="17" t="s">
        <v>26</v>
      </c>
      <c r="BS4" s="12"/>
      <c r="BT4" s="17" t="s">
        <v>26</v>
      </c>
      <c r="CB4" s="28">
        <v>400</v>
      </c>
      <c r="CC4" s="28">
        <v>75</v>
      </c>
      <c r="CE4" s="30">
        <v>10000</v>
      </c>
      <c r="CF4" s="6" t="s">
        <v>26</v>
      </c>
      <c r="CH4" s="28">
        <v>1200</v>
      </c>
      <c r="CI4" s="6" t="s">
        <v>26</v>
      </c>
      <c r="CK4" s="28">
        <v>300</v>
      </c>
      <c r="CL4" s="6" t="s">
        <v>26</v>
      </c>
      <c r="CN4" s="28">
        <v>200</v>
      </c>
      <c r="CO4" s="6" t="s">
        <v>26</v>
      </c>
      <c r="CQ4" s="107">
        <v>200</v>
      </c>
      <c r="CT4" s="12"/>
      <c r="CU4" s="31">
        <v>10000</v>
      </c>
      <c r="CV4" s="9"/>
      <c r="CX4" s="28">
        <v>400</v>
      </c>
    </row>
    <row r="5" spans="1:102">
      <c r="A5">
        <v>2</v>
      </c>
      <c r="K5" s="28">
        <v>300</v>
      </c>
      <c r="AJ5" s="28">
        <v>300</v>
      </c>
      <c r="AL5" s="28"/>
      <c r="CB5" s="28">
        <v>350</v>
      </c>
      <c r="CK5" s="28">
        <v>700</v>
      </c>
      <c r="CN5" s="28">
        <v>325</v>
      </c>
      <c r="CW5" s="28">
        <v>75</v>
      </c>
      <c r="CX5" s="28">
        <v>350</v>
      </c>
    </row>
    <row r="6" spans="1:102">
      <c r="AJ6" s="28">
        <v>60</v>
      </c>
      <c r="AO6" s="28">
        <v>60</v>
      </c>
      <c r="CB6" s="28">
        <v>135</v>
      </c>
      <c r="CN6" s="28">
        <v>135</v>
      </c>
      <c r="CX6" s="28">
        <v>10</v>
      </c>
    </row>
    <row r="7" spans="1:102">
      <c r="A7">
        <v>3</v>
      </c>
      <c r="AJ7" s="28">
        <v>700</v>
      </c>
      <c r="AL7" s="28">
        <v>700</v>
      </c>
    </row>
    <row r="8" spans="1:102">
      <c r="AJ8" s="28">
        <v>140</v>
      </c>
      <c r="AO8" s="28">
        <v>140</v>
      </c>
    </row>
    <row r="9" spans="1:102">
      <c r="A9">
        <v>4</v>
      </c>
      <c r="AJ9" s="28">
        <v>200</v>
      </c>
      <c r="AL9" s="28">
        <v>200</v>
      </c>
      <c r="CB9" s="111" t="s">
        <v>9</v>
      </c>
      <c r="CC9" s="112"/>
      <c r="CE9" s="111" t="s">
        <v>12</v>
      </c>
      <c r="CF9" s="112"/>
      <c r="CH9" s="108" t="s">
        <v>14</v>
      </c>
      <c r="CI9" s="108"/>
      <c r="CK9" s="108" t="s">
        <v>17</v>
      </c>
      <c r="CL9" s="108"/>
      <c r="CN9" s="111" t="s">
        <v>19</v>
      </c>
      <c r="CO9" s="112"/>
      <c r="CQ9" s="108" t="s">
        <v>20</v>
      </c>
      <c r="CR9" s="108"/>
      <c r="CT9" s="108" t="s">
        <v>21</v>
      </c>
      <c r="CU9" s="108"/>
      <c r="CW9" s="108" t="s">
        <v>8</v>
      </c>
      <c r="CX9" s="108"/>
    </row>
    <row r="10" spans="1:102">
      <c r="AJ10" s="28">
        <v>40</v>
      </c>
      <c r="AO10" s="28">
        <v>40</v>
      </c>
      <c r="CB10" s="3" t="s">
        <v>24</v>
      </c>
      <c r="CC10" s="10" t="s">
        <v>25</v>
      </c>
      <c r="CE10" s="3" t="s">
        <v>24</v>
      </c>
      <c r="CF10" s="4" t="s">
        <v>25</v>
      </c>
      <c r="CH10" s="25" t="s">
        <v>24</v>
      </c>
      <c r="CI10" s="26" t="s">
        <v>25</v>
      </c>
      <c r="CK10" s="41" t="s">
        <v>24</v>
      </c>
      <c r="CL10" s="41" t="s">
        <v>25</v>
      </c>
      <c r="CN10" s="3" t="s">
        <v>24</v>
      </c>
      <c r="CO10" s="4" t="s">
        <v>25</v>
      </c>
      <c r="CQ10" s="25" t="s">
        <v>24</v>
      </c>
      <c r="CR10" s="26" t="s">
        <v>25</v>
      </c>
      <c r="CT10" s="25" t="s">
        <v>24</v>
      </c>
      <c r="CU10" s="26" t="s">
        <v>25</v>
      </c>
      <c r="CW10" s="25" t="s">
        <v>24</v>
      </c>
      <c r="CX10" s="26" t="s">
        <v>25</v>
      </c>
    </row>
    <row r="11" spans="1:102">
      <c r="A11">
        <v>5</v>
      </c>
      <c r="B11" s="9"/>
      <c r="C11" s="9"/>
      <c r="K11" s="9"/>
      <c r="L11" s="9"/>
      <c r="N11" s="9"/>
      <c r="O11" s="9"/>
      <c r="Q11" s="9"/>
      <c r="R11" s="9"/>
      <c r="T11" s="20"/>
      <c r="U11" s="20"/>
      <c r="V11" s="9"/>
      <c r="CB11" s="28">
        <v>350</v>
      </c>
      <c r="CC11" s="11"/>
      <c r="CE11" s="28">
        <v>700</v>
      </c>
      <c r="CF11" s="6" t="s">
        <v>26</v>
      </c>
      <c r="CH11" s="12"/>
      <c r="CI11" s="28">
        <v>135</v>
      </c>
      <c r="CK11" s="28">
        <v>75</v>
      </c>
      <c r="CL11" s="17" t="s">
        <v>26</v>
      </c>
      <c r="CN11" s="28">
        <v>90</v>
      </c>
      <c r="CO11" s="6" t="s">
        <v>26</v>
      </c>
      <c r="CQ11" s="12"/>
      <c r="CR11" s="28">
        <v>75</v>
      </c>
      <c r="CT11" s="12"/>
      <c r="CU11" s="28">
        <v>700</v>
      </c>
      <c r="CW11" s="12"/>
      <c r="CX11" s="28">
        <v>5000</v>
      </c>
    </row>
    <row r="12" spans="1:102">
      <c r="A12">
        <v>6</v>
      </c>
      <c r="B12" s="24"/>
      <c r="C12" s="16"/>
      <c r="K12" s="18"/>
      <c r="L12" s="19"/>
      <c r="N12" s="24"/>
      <c r="O12" s="16"/>
      <c r="Q12" s="16"/>
      <c r="R12" s="24"/>
      <c r="T12" s="27"/>
      <c r="U12" s="23"/>
      <c r="V12" s="24"/>
      <c r="CE12" s="28">
        <v>200</v>
      </c>
      <c r="CT12" s="106"/>
      <c r="CU12" s="106"/>
    </row>
    <row r="13" spans="1:102">
      <c r="A13">
        <v>7</v>
      </c>
      <c r="B13" s="2"/>
      <c r="C13" s="2"/>
      <c r="K13" s="2"/>
      <c r="L13" s="9"/>
      <c r="N13" s="2"/>
      <c r="O13" s="2"/>
      <c r="Q13" s="2"/>
      <c r="R13" s="2"/>
      <c r="T13" s="2"/>
      <c r="U13" s="9"/>
      <c r="CE13" s="28">
        <v>500</v>
      </c>
      <c r="CT13" s="106"/>
      <c r="CU13" s="106"/>
    </row>
    <row r="14" spans="1:102">
      <c r="A14">
        <v>8</v>
      </c>
      <c r="CT14" s="106"/>
      <c r="CU14" s="106"/>
    </row>
    <row r="15" spans="1:102">
      <c r="A15">
        <v>9</v>
      </c>
      <c r="AL15" s="28">
        <v>500</v>
      </c>
      <c r="BE15" s="28">
        <v>500</v>
      </c>
      <c r="CT15" s="106"/>
      <c r="CU15" s="106"/>
    </row>
    <row r="16" spans="1:102">
      <c r="AO16" s="43">
        <v>100</v>
      </c>
      <c r="AP16" s="96"/>
      <c r="BE16" s="28">
        <v>100</v>
      </c>
      <c r="CT16" s="106"/>
      <c r="CU16" s="106"/>
    </row>
    <row r="17" spans="1:102">
      <c r="A17">
        <v>10</v>
      </c>
      <c r="AA17" s="28">
        <v>5000</v>
      </c>
      <c r="AI17" s="28">
        <v>5000</v>
      </c>
      <c r="CT17" s="106"/>
      <c r="CU17" s="106"/>
    </row>
    <row r="18" spans="1:102">
      <c r="A18">
        <v>11</v>
      </c>
      <c r="CT18" s="106"/>
      <c r="CU18" s="106"/>
    </row>
    <row r="19" spans="1:102">
      <c r="A19">
        <v>12</v>
      </c>
      <c r="V19" s="20"/>
      <c r="CB19" s="109" t="s">
        <v>18</v>
      </c>
      <c r="CC19" s="110"/>
      <c r="CE19" s="111" t="s">
        <v>11</v>
      </c>
      <c r="CF19" s="112"/>
      <c r="CH19" s="111" t="s">
        <v>13</v>
      </c>
      <c r="CI19" s="112"/>
      <c r="CK19" s="113" t="s">
        <v>10</v>
      </c>
      <c r="CL19" s="113"/>
      <c r="CN19" s="111" t="s">
        <v>16</v>
      </c>
      <c r="CO19" s="112"/>
      <c r="CQ19" s="108" t="s">
        <v>23</v>
      </c>
      <c r="CR19" s="108"/>
      <c r="CT19" s="108" t="s">
        <v>22</v>
      </c>
      <c r="CU19" s="108"/>
      <c r="CW19" s="20"/>
      <c r="CX19" s="20"/>
    </row>
    <row r="20" spans="1:102">
      <c r="A20">
        <v>13</v>
      </c>
      <c r="B20" s="9"/>
      <c r="C20" s="9"/>
      <c r="E20" s="9"/>
      <c r="F20" s="9"/>
      <c r="H20" s="9"/>
      <c r="I20" s="9"/>
      <c r="K20" s="20"/>
      <c r="L20" s="20"/>
      <c r="N20" s="9"/>
      <c r="O20" s="9"/>
      <c r="Q20" s="20"/>
      <c r="R20" s="20"/>
      <c r="T20" s="20"/>
      <c r="U20" s="20"/>
      <c r="V20" s="23"/>
      <c r="AF20" s="28">
        <v>258</v>
      </c>
      <c r="BE20" s="28">
        <v>258</v>
      </c>
      <c r="CB20" s="25" t="s">
        <v>24</v>
      </c>
      <c r="CC20" s="26" t="s">
        <v>25</v>
      </c>
      <c r="CE20" s="3" t="s">
        <v>24</v>
      </c>
      <c r="CF20" s="4" t="s">
        <v>25</v>
      </c>
      <c r="CH20" s="3" t="s">
        <v>24</v>
      </c>
      <c r="CI20" s="4" t="s">
        <v>25</v>
      </c>
      <c r="CK20" s="13" t="s">
        <v>24</v>
      </c>
      <c r="CL20" s="14" t="s">
        <v>25</v>
      </c>
      <c r="CN20" s="3" t="s">
        <v>24</v>
      </c>
      <c r="CO20" s="4" t="s">
        <v>25</v>
      </c>
      <c r="CQ20" s="25" t="s">
        <v>24</v>
      </c>
      <c r="CR20" s="26" t="s">
        <v>25</v>
      </c>
      <c r="CT20" s="25" t="s">
        <v>24</v>
      </c>
      <c r="CU20" s="26" t="s">
        <v>25</v>
      </c>
      <c r="CW20" s="27"/>
      <c r="CX20" s="23"/>
    </row>
    <row r="21" spans="1:102">
      <c r="B21" s="24"/>
      <c r="C21" s="16"/>
      <c r="E21" s="24"/>
      <c r="F21" s="16"/>
      <c r="H21" s="24"/>
      <c r="I21" s="16"/>
      <c r="K21" s="27"/>
      <c r="L21" s="23"/>
      <c r="N21" s="24"/>
      <c r="O21" s="16"/>
      <c r="Q21" s="27"/>
      <c r="R21" s="23"/>
      <c r="T21" s="27"/>
      <c r="U21" s="23"/>
      <c r="V21" s="20"/>
      <c r="AF21" s="28">
        <v>400</v>
      </c>
      <c r="BE21" s="28">
        <v>400</v>
      </c>
      <c r="CB21" s="28">
        <v>5</v>
      </c>
      <c r="CC21" s="28">
        <v>500</v>
      </c>
      <c r="CE21" s="28">
        <v>5000</v>
      </c>
      <c r="CF21" s="28">
        <v>300</v>
      </c>
      <c r="CH21" s="43">
        <v>100</v>
      </c>
      <c r="CI21" s="29">
        <v>5</v>
      </c>
      <c r="CK21" s="28">
        <v>258</v>
      </c>
      <c r="CL21" s="28">
        <v>25</v>
      </c>
      <c r="CN21" s="28">
        <v>258</v>
      </c>
      <c r="CO21" s="28">
        <v>200</v>
      </c>
      <c r="CQ21" s="12"/>
      <c r="CR21" s="28">
        <v>200</v>
      </c>
      <c r="CT21" s="12"/>
      <c r="CU21" s="28">
        <v>350</v>
      </c>
      <c r="CW21" s="2"/>
    </row>
    <row r="22" spans="1:102">
      <c r="B22" s="2"/>
      <c r="C22" s="2"/>
      <c r="E22" s="2"/>
      <c r="F22" s="2"/>
      <c r="H22" s="2"/>
      <c r="I22" s="2"/>
      <c r="K22" s="2"/>
      <c r="L22" s="9"/>
      <c r="N22" s="2"/>
      <c r="O22" s="2"/>
      <c r="Q22" s="2"/>
      <c r="R22" s="9"/>
      <c r="T22" s="2"/>
      <c r="U22" s="9"/>
      <c r="AO22" s="28">
        <v>132</v>
      </c>
      <c r="BE22" s="28">
        <v>132</v>
      </c>
      <c r="CB22" s="28">
        <v>25</v>
      </c>
      <c r="CC22" s="28">
        <v>100</v>
      </c>
      <c r="CE22" s="28">
        <v>810</v>
      </c>
      <c r="CF22" s="28">
        <v>60</v>
      </c>
      <c r="CH22" s="28">
        <v>132</v>
      </c>
      <c r="CK22" s="28">
        <v>400</v>
      </c>
      <c r="CL22" s="28">
        <v>258</v>
      </c>
      <c r="CN22" s="28">
        <v>400</v>
      </c>
      <c r="CO22" s="28">
        <v>325</v>
      </c>
    </row>
    <row r="23" spans="1:102">
      <c r="A23">
        <v>14</v>
      </c>
      <c r="H23" s="28">
        <v>1200</v>
      </c>
      <c r="BE23" s="28">
        <v>1200</v>
      </c>
      <c r="CB23" s="28">
        <v>790</v>
      </c>
      <c r="CC23" s="28">
        <v>258</v>
      </c>
      <c r="CE23" s="28">
        <v>10</v>
      </c>
      <c r="CF23" s="28">
        <v>700</v>
      </c>
      <c r="CH23" s="43">
        <v>240</v>
      </c>
      <c r="CK23" s="28">
        <v>170</v>
      </c>
      <c r="CL23" s="28">
        <v>400</v>
      </c>
      <c r="CN23" s="28">
        <v>170</v>
      </c>
      <c r="CO23" s="28">
        <v>135</v>
      </c>
    </row>
    <row r="24" spans="1:102">
      <c r="AO24" s="43">
        <v>240</v>
      </c>
      <c r="BE24" s="28">
        <v>240</v>
      </c>
      <c r="CB24" s="28">
        <v>600</v>
      </c>
      <c r="CC24" s="28">
        <v>400</v>
      </c>
      <c r="CF24" s="28">
        <v>140</v>
      </c>
      <c r="CH24" s="43">
        <v>104</v>
      </c>
      <c r="CK24" s="28">
        <v>350</v>
      </c>
      <c r="CL24" s="28">
        <v>170</v>
      </c>
      <c r="CN24" s="28">
        <v>350</v>
      </c>
      <c r="CO24" s="28">
        <v>25</v>
      </c>
    </row>
    <row r="25" spans="1:102">
      <c r="A25">
        <v>15</v>
      </c>
      <c r="AF25" s="28">
        <v>170</v>
      </c>
      <c r="BE25" s="28">
        <v>170</v>
      </c>
      <c r="CB25" s="28">
        <v>1440</v>
      </c>
      <c r="CC25" s="28">
        <v>132</v>
      </c>
      <c r="CF25" s="28">
        <v>200</v>
      </c>
      <c r="CH25" s="28">
        <v>18</v>
      </c>
      <c r="CI25" s="97"/>
      <c r="CK25" s="28">
        <v>25</v>
      </c>
      <c r="CL25" s="28">
        <v>350</v>
      </c>
    </row>
    <row r="26" spans="1:102">
      <c r="AF26" s="28">
        <v>350</v>
      </c>
      <c r="BE26" s="28">
        <v>350</v>
      </c>
      <c r="CB26" s="28">
        <v>594</v>
      </c>
      <c r="CC26" s="28">
        <v>1200</v>
      </c>
      <c r="CF26" s="28">
        <v>40</v>
      </c>
      <c r="CH26" s="28">
        <v>240</v>
      </c>
    </row>
    <row r="27" spans="1:102">
      <c r="AO27" s="43">
        <v>104</v>
      </c>
      <c r="BE27" s="28">
        <v>104</v>
      </c>
      <c r="CC27" s="28">
        <v>240</v>
      </c>
      <c r="CF27" s="28">
        <v>790</v>
      </c>
      <c r="CS27" t="s">
        <v>27</v>
      </c>
      <c r="CT27" t="s">
        <v>28</v>
      </c>
    </row>
    <row r="28" spans="1:102">
      <c r="A28">
        <v>16</v>
      </c>
      <c r="AP28" s="43">
        <v>5</v>
      </c>
      <c r="BD28" s="28">
        <v>5</v>
      </c>
      <c r="CC28" s="28">
        <v>170</v>
      </c>
      <c r="CF28" s="28">
        <v>600</v>
      </c>
      <c r="CS28">
        <v>28224</v>
      </c>
      <c r="CT28">
        <v>28224</v>
      </c>
    </row>
    <row r="29" spans="1:102">
      <c r="AG29" s="28">
        <v>25</v>
      </c>
      <c r="BD29" s="28">
        <v>25</v>
      </c>
      <c r="CC29" s="28">
        <v>350</v>
      </c>
      <c r="CF29" s="28">
        <v>1440</v>
      </c>
      <c r="CH29" s="97"/>
    </row>
    <row r="30" spans="1:102">
      <c r="A30">
        <v>17</v>
      </c>
      <c r="CC30" s="28">
        <v>104</v>
      </c>
      <c r="CF30" s="28">
        <v>594</v>
      </c>
    </row>
    <row r="31" spans="1:102">
      <c r="A31">
        <v>18</v>
      </c>
      <c r="AJ31" s="28">
        <v>790</v>
      </c>
      <c r="BD31" s="28">
        <v>790</v>
      </c>
      <c r="CC31" s="28">
        <v>90</v>
      </c>
    </row>
    <row r="32" spans="1:102">
      <c r="AJ32" s="28">
        <v>600</v>
      </c>
      <c r="BD32" s="28">
        <v>600</v>
      </c>
      <c r="CC32" s="28">
        <v>18</v>
      </c>
      <c r="CH32" s="97"/>
    </row>
    <row r="33" spans="1:87">
      <c r="AJ33" s="28">
        <v>1440</v>
      </c>
      <c r="BD33" s="28">
        <v>1440</v>
      </c>
      <c r="CI33" s="97"/>
    </row>
    <row r="34" spans="1:87">
      <c r="AJ34" s="28">
        <v>594</v>
      </c>
      <c r="BD34" s="28">
        <v>594</v>
      </c>
    </row>
    <row r="35" spans="1:87">
      <c r="A35">
        <v>19</v>
      </c>
      <c r="B35" s="28">
        <v>400</v>
      </c>
      <c r="X35" s="28">
        <v>400</v>
      </c>
      <c r="BA35" s="28">
        <v>75</v>
      </c>
      <c r="BB35" s="40"/>
      <c r="BK35" s="28">
        <v>75</v>
      </c>
    </row>
    <row r="36" spans="1:87">
      <c r="B36" s="28">
        <v>350</v>
      </c>
      <c r="W36" s="28">
        <v>75</v>
      </c>
      <c r="X36" s="28">
        <v>350</v>
      </c>
    </row>
    <row r="37" spans="1:87">
      <c r="B37" s="28">
        <v>135</v>
      </c>
      <c r="C37" s="28">
        <v>75</v>
      </c>
      <c r="AS37" s="28">
        <v>135</v>
      </c>
    </row>
    <row r="38" spans="1:87">
      <c r="A38">
        <v>21</v>
      </c>
      <c r="C38" s="28">
        <v>810</v>
      </c>
      <c r="AI38" s="28">
        <v>810</v>
      </c>
    </row>
    <row r="39" spans="1:87">
      <c r="A39">
        <v>23</v>
      </c>
      <c r="BE39" s="28">
        <v>90</v>
      </c>
      <c r="BG39" s="28">
        <v>90</v>
      </c>
    </row>
    <row r="40" spans="1:87">
      <c r="AO40" s="28">
        <v>18</v>
      </c>
      <c r="BE40" s="28">
        <v>18</v>
      </c>
    </row>
    <row r="41" spans="1:87">
      <c r="A41">
        <v>24</v>
      </c>
      <c r="X41" s="28">
        <v>10</v>
      </c>
      <c r="AI41" s="28">
        <v>10</v>
      </c>
    </row>
    <row r="42" spans="1:87">
      <c r="A42">
        <v>20</v>
      </c>
      <c r="K42" s="28">
        <v>700</v>
      </c>
      <c r="Q42" s="28">
        <v>200</v>
      </c>
      <c r="AC42" s="28">
        <v>350</v>
      </c>
      <c r="BN42" s="28">
        <v>700</v>
      </c>
      <c r="BQ42" s="28">
        <v>350</v>
      </c>
      <c r="BT42" s="28">
        <v>200</v>
      </c>
      <c r="CF42">
        <f>SUM(CB4:CB7,CB11,CB21:CB26,CE4,CE11:CE14,CE21:CE24,CH4,CH21:CH27,CK4:CK6,CK11,CK21:CK26,CN4:CN6,CN11,CN21:CN24,CQ4,CQ21,CW5)</f>
        <v>28424</v>
      </c>
      <c r="CG42">
        <f>SUM(CC4:CC6,CC21:CC32,CF21:CF30,CI11,CI21,CL21:CL25,CO21:CO25,CR11,CU4,CU11,CU21,CX4:CX6,CX11,CX21)</f>
        <v>27414</v>
      </c>
    </row>
    <row r="44" spans="1:87">
      <c r="AC44" s="96"/>
    </row>
    <row r="46" spans="1:87">
      <c r="A46">
        <v>22</v>
      </c>
      <c r="N46" s="28">
        <v>200</v>
      </c>
      <c r="AG46" s="28">
        <v>258</v>
      </c>
      <c r="AX46" s="28">
        <v>258</v>
      </c>
      <c r="AY46" s="28">
        <v>200</v>
      </c>
    </row>
    <row r="47" spans="1:87">
      <c r="N47" s="28">
        <v>325</v>
      </c>
      <c r="AG47" s="28">
        <v>400</v>
      </c>
      <c r="AX47" s="28">
        <v>400</v>
      </c>
      <c r="AY47" s="28">
        <v>325</v>
      </c>
    </row>
    <row r="48" spans="1:87">
      <c r="N48" s="28">
        <v>135</v>
      </c>
      <c r="AG48" s="28">
        <v>170</v>
      </c>
      <c r="AX48" s="28">
        <v>170</v>
      </c>
      <c r="AY48" s="28">
        <v>135</v>
      </c>
    </row>
    <row r="49" spans="1:51">
      <c r="AF49" s="28">
        <v>25</v>
      </c>
      <c r="AG49" s="28">
        <v>350</v>
      </c>
      <c r="AX49" s="28">
        <v>350</v>
      </c>
      <c r="AY49" s="28">
        <v>25</v>
      </c>
    </row>
    <row r="50" spans="1:51">
      <c r="A50" s="32" t="s">
        <v>29</v>
      </c>
      <c r="B50" s="33">
        <f>SUM(B4:B49,E4:E49,H4:H49,K4:K49,N4:N49,Q4:Q48,T4:T48,W4:W48,Z4:Z48,AC4:AC48,AF4:AF49,AI4:AI49,AL4:AL49,AO4:AO50,AR4:AR51,AU4:AU51,AX4:AX50,BA4:BA50,BD4:BD49,BG4:BG50,BJ4:BJ49)</f>
        <v>28424</v>
      </c>
      <c r="C50" s="33">
        <f>SUM(C4:C41,U4,X5:X45,AA9:AA47,AG6:AG52,AJ4:AJ47,AP5:AP50,AS8:AS41,AY8:AY51,BB6:BB38,BE12:BE44,BK7:BK47,BN40:BN44,BQ40:BQ44,BT40:BT45)</f>
        <v>28424</v>
      </c>
    </row>
  </sheetData>
  <mergeCells count="47">
    <mergeCell ref="CW2:CX2"/>
    <mergeCell ref="CB9:CC9"/>
    <mergeCell ref="CE9:CF9"/>
    <mergeCell ref="CH9:CI9"/>
    <mergeCell ref="CK9:CL9"/>
    <mergeCell ref="CN9:CO9"/>
    <mergeCell ref="CQ9:CR9"/>
    <mergeCell ref="CT9:CU9"/>
    <mergeCell ref="CW9:CX9"/>
    <mergeCell ref="CB2:CC2"/>
    <mergeCell ref="CE2:CF2"/>
    <mergeCell ref="CH2:CI2"/>
    <mergeCell ref="CK2:CL2"/>
    <mergeCell ref="CN2:CO2"/>
    <mergeCell ref="BJ2:BK2"/>
    <mergeCell ref="Q2:R2"/>
    <mergeCell ref="T2:U2"/>
    <mergeCell ref="B2:C2"/>
    <mergeCell ref="E2:F2"/>
    <mergeCell ref="H2:I2"/>
    <mergeCell ref="K2:L2"/>
    <mergeCell ref="N2:O2"/>
    <mergeCell ref="AC2:AD2"/>
    <mergeCell ref="AI2:AJ2"/>
    <mergeCell ref="AL2:AM2"/>
    <mergeCell ref="W2:X2"/>
    <mergeCell ref="Z2:AA2"/>
    <mergeCell ref="AF2:AG2"/>
    <mergeCell ref="BG2:BH2"/>
    <mergeCell ref="AO2:AP2"/>
    <mergeCell ref="AR2:AS2"/>
    <mergeCell ref="AU2:AV2"/>
    <mergeCell ref="AX2:AY2"/>
    <mergeCell ref="BA2:BB2"/>
    <mergeCell ref="BD2:BE2"/>
    <mergeCell ref="BM2:BN2"/>
    <mergeCell ref="BP2:BQ2"/>
    <mergeCell ref="BS2:BT2"/>
    <mergeCell ref="CQ19:CR19"/>
    <mergeCell ref="CT19:CU19"/>
    <mergeCell ref="CQ2:CR2"/>
    <mergeCell ref="CT2:CU2"/>
    <mergeCell ref="CB19:CC19"/>
    <mergeCell ref="CE19:CF19"/>
    <mergeCell ref="CH19:CI19"/>
    <mergeCell ref="CK19:CL19"/>
    <mergeCell ref="CN19:CO19"/>
  </mergeCells>
  <pageMargins left="0.7" right="0.7" top="0.75" bottom="0.75" header="0.3" footer="0.3"/>
  <pageSetup paperSize="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41BA-F56E-4B9E-B8A5-E0412496897A}">
  <dimension ref="A1:D28"/>
  <sheetViews>
    <sheetView workbookViewId="0">
      <selection activeCell="I30" sqref="I30"/>
    </sheetView>
  </sheetViews>
  <sheetFormatPr defaultRowHeight="15"/>
  <cols>
    <col min="2" max="2" width="20.7109375" bestFit="1" customWidth="1"/>
    <col min="5" max="5" width="10.28515625" bestFit="1" customWidth="1"/>
  </cols>
  <sheetData>
    <row r="1" spans="1:4">
      <c r="A1" s="116" t="s">
        <v>30</v>
      </c>
      <c r="B1" s="116"/>
      <c r="C1" s="116"/>
      <c r="D1" s="116"/>
    </row>
    <row r="3" spans="1:4" ht="15.75">
      <c r="A3" t="s">
        <v>31</v>
      </c>
      <c r="B3" s="35" t="s">
        <v>32</v>
      </c>
      <c r="C3" s="34" t="s">
        <v>24</v>
      </c>
      <c r="D3" s="34" t="s">
        <v>25</v>
      </c>
    </row>
    <row r="4" spans="1:4">
      <c r="A4">
        <v>1</v>
      </c>
      <c r="B4" s="36" t="s">
        <v>0</v>
      </c>
      <c r="C4">
        <v>0</v>
      </c>
    </row>
    <row r="5" spans="1:4">
      <c r="A5">
        <v>2</v>
      </c>
      <c r="B5" s="36" t="s">
        <v>1</v>
      </c>
      <c r="C5">
        <v>10000</v>
      </c>
    </row>
    <row r="6" spans="1:4">
      <c r="A6">
        <v>3</v>
      </c>
      <c r="B6" s="36" t="s">
        <v>2</v>
      </c>
      <c r="C6">
        <v>1200</v>
      </c>
    </row>
    <row r="7" spans="1:4">
      <c r="A7">
        <v>4</v>
      </c>
      <c r="B7" s="36" t="s">
        <v>33</v>
      </c>
      <c r="C7">
        <v>1000</v>
      </c>
    </row>
    <row r="8" spans="1:4">
      <c r="A8">
        <v>5</v>
      </c>
      <c r="B8" s="36" t="s">
        <v>34</v>
      </c>
    </row>
    <row r="9" spans="1:4">
      <c r="A9">
        <v>6</v>
      </c>
      <c r="B9" s="36" t="s">
        <v>4</v>
      </c>
      <c r="C9">
        <v>660</v>
      </c>
    </row>
    <row r="10" spans="1:4">
      <c r="A10">
        <v>7</v>
      </c>
      <c r="B10" s="36" t="s">
        <v>5</v>
      </c>
      <c r="C10">
        <v>200</v>
      </c>
    </row>
    <row r="11" spans="1:4">
      <c r="A11">
        <v>8</v>
      </c>
      <c r="B11" s="36" t="s">
        <v>6</v>
      </c>
      <c r="D11">
        <v>10000</v>
      </c>
    </row>
    <row r="12" spans="1:4">
      <c r="A12">
        <v>9</v>
      </c>
      <c r="B12" s="36" t="s">
        <v>35</v>
      </c>
      <c r="D12">
        <v>685</v>
      </c>
    </row>
    <row r="13" spans="1:4">
      <c r="A13">
        <v>10</v>
      </c>
      <c r="B13" s="36" t="s">
        <v>36</v>
      </c>
      <c r="D13">
        <v>5000</v>
      </c>
    </row>
    <row r="14" spans="1:4">
      <c r="A14">
        <v>11</v>
      </c>
      <c r="B14" s="36" t="s">
        <v>9</v>
      </c>
      <c r="C14">
        <v>350</v>
      </c>
    </row>
    <row r="15" spans="1:4">
      <c r="A15">
        <v>12</v>
      </c>
      <c r="B15" s="36" t="s">
        <v>10</v>
      </c>
    </row>
    <row r="16" spans="1:4">
      <c r="A16">
        <v>13</v>
      </c>
      <c r="B16" s="36" t="s">
        <v>11</v>
      </c>
      <c r="C16">
        <v>956</v>
      </c>
    </row>
    <row r="17" spans="1:4">
      <c r="A17">
        <v>14</v>
      </c>
      <c r="B17" s="36" t="s">
        <v>12</v>
      </c>
      <c r="C17">
        <v>1400</v>
      </c>
    </row>
    <row r="18" spans="1:4">
      <c r="A18">
        <v>15</v>
      </c>
      <c r="B18" s="36" t="s">
        <v>13</v>
      </c>
      <c r="C18">
        <v>829</v>
      </c>
    </row>
    <row r="19" spans="1:4">
      <c r="A19">
        <v>16</v>
      </c>
      <c r="B19" s="36" t="s">
        <v>14</v>
      </c>
      <c r="D19">
        <v>135</v>
      </c>
    </row>
    <row r="20" spans="1:4">
      <c r="A20">
        <v>18</v>
      </c>
      <c r="B20" s="36" t="s">
        <v>16</v>
      </c>
      <c r="C20">
        <v>493</v>
      </c>
    </row>
    <row r="21" spans="1:4">
      <c r="A21">
        <v>19</v>
      </c>
      <c r="B21" s="36" t="s">
        <v>17</v>
      </c>
      <c r="C21">
        <v>75</v>
      </c>
    </row>
    <row r="22" spans="1:4">
      <c r="A22">
        <v>20</v>
      </c>
      <c r="B22" s="36" t="s">
        <v>18</v>
      </c>
      <c r="D22">
        <v>108</v>
      </c>
    </row>
    <row r="23" spans="1:4">
      <c r="A23">
        <v>21</v>
      </c>
      <c r="B23" s="36" t="s">
        <v>19</v>
      </c>
      <c r="C23">
        <v>90</v>
      </c>
    </row>
    <row r="24" spans="1:4">
      <c r="A24">
        <v>22</v>
      </c>
      <c r="B24" s="36" t="s">
        <v>20</v>
      </c>
      <c r="D24">
        <v>75</v>
      </c>
    </row>
    <row r="25" spans="1:4">
      <c r="A25">
        <v>23</v>
      </c>
      <c r="B25" s="36" t="s">
        <v>21</v>
      </c>
      <c r="D25">
        <v>700</v>
      </c>
    </row>
    <row r="26" spans="1:4">
      <c r="A26">
        <v>24</v>
      </c>
      <c r="B26" s="36" t="s">
        <v>37</v>
      </c>
      <c r="D26">
        <v>200</v>
      </c>
    </row>
    <row r="27" spans="1:4">
      <c r="A27">
        <v>25</v>
      </c>
      <c r="B27" s="36" t="s">
        <v>22</v>
      </c>
      <c r="D27">
        <v>350</v>
      </c>
    </row>
    <row r="28" spans="1:4" ht="15.75">
      <c r="B28" s="35" t="s">
        <v>38</v>
      </c>
      <c r="C28">
        <f>SUM(C4:C24)</f>
        <v>17253</v>
      </c>
      <c r="D28">
        <f>SUM(D5:D27)</f>
        <v>17253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511C-CCDE-482A-BB17-1B98A4968D09}">
  <dimension ref="A1:B15"/>
  <sheetViews>
    <sheetView workbookViewId="0">
      <selection activeCell="D16" sqref="D16"/>
    </sheetView>
  </sheetViews>
  <sheetFormatPr defaultRowHeight="15"/>
  <cols>
    <col min="1" max="1" width="26.28515625" customWidth="1"/>
    <col min="2" max="2" width="11.7109375" customWidth="1"/>
  </cols>
  <sheetData>
    <row r="1" spans="1:2" ht="15.75">
      <c r="A1" s="35" t="s">
        <v>39</v>
      </c>
    </row>
    <row r="3" spans="1:2" ht="15.75">
      <c r="A3" s="15"/>
      <c r="B3" s="58" t="s">
        <v>40</v>
      </c>
    </row>
    <row r="4" spans="1:2">
      <c r="A4" s="59" t="s">
        <v>41</v>
      </c>
      <c r="B4" s="65">
        <v>685</v>
      </c>
    </row>
    <row r="5" spans="1:2">
      <c r="A5" s="59" t="s">
        <v>16</v>
      </c>
      <c r="B5" s="65">
        <v>493</v>
      </c>
    </row>
    <row r="6" spans="1:2">
      <c r="A6" s="59" t="s">
        <v>42</v>
      </c>
      <c r="B6" s="65">
        <v>192</v>
      </c>
    </row>
    <row r="7" spans="1:2" ht="15.75" customHeight="1">
      <c r="A7" s="60" t="s">
        <v>43</v>
      </c>
      <c r="B7" s="65"/>
    </row>
    <row r="8" spans="1:2" ht="15.75" customHeight="1">
      <c r="A8" s="61" t="s">
        <v>3</v>
      </c>
      <c r="B8" s="65">
        <v>1000</v>
      </c>
    </row>
    <row r="9" spans="1:2" ht="15.75" customHeight="1">
      <c r="A9" s="61" t="s">
        <v>9</v>
      </c>
      <c r="B9" s="65">
        <v>350</v>
      </c>
    </row>
    <row r="10" spans="1:2">
      <c r="A10" s="62" t="s">
        <v>44</v>
      </c>
      <c r="B10" s="65">
        <v>90</v>
      </c>
    </row>
    <row r="11" spans="1:2">
      <c r="A11" s="62" t="s">
        <v>17</v>
      </c>
      <c r="B11" s="65">
        <v>75</v>
      </c>
    </row>
    <row r="12" spans="1:2">
      <c r="A12" s="63" t="s">
        <v>45</v>
      </c>
      <c r="B12" s="65">
        <f>SUM(B8:B11)</f>
        <v>1515</v>
      </c>
    </row>
    <row r="13" spans="1:2">
      <c r="A13" s="60" t="s">
        <v>46</v>
      </c>
      <c r="B13" s="65">
        <v>1323</v>
      </c>
    </row>
    <row r="14" spans="1:2">
      <c r="A14" s="59" t="s">
        <v>47</v>
      </c>
      <c r="B14" s="65">
        <v>1323</v>
      </c>
    </row>
    <row r="15" spans="1:2">
      <c r="A15" s="3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3E17-D324-49EF-BB26-D4248310EEAB}">
  <dimension ref="B2:I15"/>
  <sheetViews>
    <sheetView workbookViewId="0">
      <selection activeCell="F16" sqref="F16"/>
    </sheetView>
  </sheetViews>
  <sheetFormatPr defaultRowHeight="15"/>
  <cols>
    <col min="2" max="2" width="36.5703125" bestFit="1" customWidth="1"/>
    <col min="3" max="3" width="34.28515625" bestFit="1" customWidth="1"/>
    <col min="4" max="4" width="12.42578125" customWidth="1"/>
    <col min="5" max="5" width="9.42578125" customWidth="1"/>
    <col min="6" max="6" width="20.7109375" bestFit="1" customWidth="1"/>
    <col min="7" max="7" width="10.140625" bestFit="1" customWidth="1"/>
    <col min="8" max="8" width="19.5703125" bestFit="1" customWidth="1"/>
    <col min="9" max="9" width="14" bestFit="1" customWidth="1"/>
  </cols>
  <sheetData>
    <row r="2" spans="2:9">
      <c r="B2" s="117" t="s">
        <v>48</v>
      </c>
      <c r="C2" s="118"/>
    </row>
    <row r="4" spans="2:9">
      <c r="B4" s="99" t="s">
        <v>49</v>
      </c>
      <c r="C4" s="100" t="s">
        <v>50</v>
      </c>
      <c r="F4" s="34"/>
      <c r="G4" s="34"/>
      <c r="H4" s="34"/>
      <c r="I4" s="34"/>
    </row>
    <row r="5" spans="2:9">
      <c r="B5" s="101" t="s">
        <v>51</v>
      </c>
      <c r="C5" s="102">
        <v>10000</v>
      </c>
      <c r="F5" s="34"/>
      <c r="G5" s="39"/>
      <c r="I5" s="39"/>
    </row>
    <row r="6" spans="2:9">
      <c r="B6" s="101" t="s">
        <v>52</v>
      </c>
      <c r="C6" s="8"/>
      <c r="F6" s="34"/>
    </row>
    <row r="7" spans="2:9">
      <c r="B7" s="103" t="s">
        <v>53</v>
      </c>
      <c r="C7" s="102">
        <v>685</v>
      </c>
      <c r="F7" s="34"/>
    </row>
    <row r="8" spans="2:9">
      <c r="B8" s="103" t="s">
        <v>54</v>
      </c>
      <c r="C8" s="102">
        <v>-493</v>
      </c>
      <c r="F8" s="34"/>
    </row>
    <row r="9" spans="2:9">
      <c r="B9" s="103" t="s">
        <v>55</v>
      </c>
      <c r="C9" s="102">
        <v>-90</v>
      </c>
    </row>
    <row r="10" spans="2:9">
      <c r="B10" s="103" t="s">
        <v>56</v>
      </c>
      <c r="C10" s="102">
        <v>-300</v>
      </c>
    </row>
    <row r="11" spans="2:9">
      <c r="B11" s="103" t="s">
        <v>57</v>
      </c>
      <c r="C11" s="102">
        <v>-700</v>
      </c>
    </row>
    <row r="12" spans="2:9">
      <c r="B12" s="103" t="s">
        <v>58</v>
      </c>
      <c r="C12" s="102">
        <v>-200</v>
      </c>
    </row>
    <row r="13" spans="2:9">
      <c r="B13" s="103" t="s">
        <v>59</v>
      </c>
      <c r="C13" s="102">
        <v>-350</v>
      </c>
    </row>
    <row r="14" spans="2:9">
      <c r="B14" s="101" t="s">
        <v>60</v>
      </c>
      <c r="C14" s="102">
        <f>SUM(C8:C13)</f>
        <v>-2133</v>
      </c>
    </row>
    <row r="15" spans="2:9">
      <c r="B15" s="104" t="s">
        <v>61</v>
      </c>
      <c r="C15" s="105">
        <f>SUM(C5,C7,C14)</f>
        <v>8552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A846-9E1D-494E-9C0C-02FC3301652A}">
  <dimension ref="A1:AQ26"/>
  <sheetViews>
    <sheetView tabSelected="1" workbookViewId="0">
      <selection activeCell="F19" sqref="F19"/>
    </sheetView>
  </sheetViews>
  <sheetFormatPr defaultColWidth="9.140625" defaultRowHeight="15"/>
  <cols>
    <col min="2" max="2" width="33.5703125" customWidth="1"/>
    <col min="3" max="3" width="14" customWidth="1"/>
    <col min="4" max="4" width="15.28515625" customWidth="1"/>
    <col min="5" max="5" width="21.42578125" customWidth="1"/>
    <col min="11" max="11" width="15.7109375" customWidth="1"/>
    <col min="12" max="12" width="13.42578125" bestFit="1" customWidth="1"/>
    <col min="23" max="23" width="11.140625" customWidth="1"/>
    <col min="24" max="24" width="31.85546875" customWidth="1"/>
    <col min="25" max="25" width="13.28515625" customWidth="1"/>
    <col min="27" max="27" width="28.140625" customWidth="1"/>
    <col min="28" max="28" width="13.42578125" customWidth="1"/>
    <col min="30" max="30" width="15.28515625" bestFit="1" customWidth="1"/>
    <col min="31" max="31" width="13.7109375" bestFit="1" customWidth="1"/>
    <col min="35" max="35" width="9.7109375" bestFit="1" customWidth="1"/>
    <col min="38" max="38" width="15" bestFit="1" customWidth="1"/>
    <col min="40" max="40" width="9.42578125" bestFit="1" customWidth="1"/>
  </cols>
  <sheetData>
    <row r="1" spans="1:43">
      <c r="A1" s="119" t="s">
        <v>62</v>
      </c>
      <c r="B1" s="119"/>
      <c r="C1" s="119"/>
      <c r="D1" s="119"/>
      <c r="E1" s="119"/>
    </row>
    <row r="2" spans="1:43">
      <c r="A2" s="7"/>
      <c r="B2" s="7"/>
      <c r="C2" s="7"/>
      <c r="D2" s="7"/>
      <c r="E2" s="7"/>
    </row>
    <row r="3" spans="1:43">
      <c r="B3" s="89" t="s">
        <v>63</v>
      </c>
      <c r="C3" s="75" t="s">
        <v>64</v>
      </c>
      <c r="D3" s="34"/>
      <c r="E3" s="74" t="s">
        <v>65</v>
      </c>
      <c r="F3" s="75" t="s">
        <v>64</v>
      </c>
      <c r="K3" s="34"/>
      <c r="X3" s="44"/>
      <c r="Y3" s="45"/>
      <c r="Z3" s="44"/>
      <c r="AA3" s="44"/>
      <c r="AB3" s="45"/>
      <c r="AD3" t="s">
        <v>66</v>
      </c>
      <c r="AE3" t="s">
        <v>67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L3" t="s">
        <v>73</v>
      </c>
      <c r="AM3" t="s">
        <v>74</v>
      </c>
      <c r="AN3" t="s">
        <v>75</v>
      </c>
      <c r="AO3" t="s">
        <v>76</v>
      </c>
      <c r="AP3" t="s">
        <v>77</v>
      </c>
      <c r="AQ3" t="s">
        <v>78</v>
      </c>
    </row>
    <row r="4" spans="1:43">
      <c r="B4" s="87" t="s">
        <v>79</v>
      </c>
      <c r="C4" s="77"/>
      <c r="D4" s="34"/>
      <c r="E4" s="76" t="s">
        <v>80</v>
      </c>
      <c r="F4" s="77">
        <v>108</v>
      </c>
      <c r="K4" s="37"/>
      <c r="X4" s="40"/>
      <c r="Y4" s="40"/>
      <c r="Z4" s="44"/>
      <c r="AA4" s="46"/>
      <c r="AB4" s="40"/>
      <c r="AE4">
        <v>300</v>
      </c>
      <c r="AO4">
        <v>60</v>
      </c>
      <c r="AQ4">
        <v>15820</v>
      </c>
    </row>
    <row r="5" spans="1:43">
      <c r="B5" s="70" t="s">
        <v>81</v>
      </c>
      <c r="C5" s="71">
        <f>SUM(C6:C11)</f>
        <v>1400</v>
      </c>
      <c r="D5" s="34"/>
      <c r="E5" s="76" t="s">
        <v>21</v>
      </c>
      <c r="F5" s="77">
        <v>1250</v>
      </c>
      <c r="K5" s="37"/>
      <c r="X5" s="40"/>
      <c r="Y5" s="40"/>
      <c r="Z5" s="44"/>
      <c r="AA5" s="46"/>
      <c r="AB5" s="40"/>
    </row>
    <row r="6" spans="1:43">
      <c r="B6" s="90"/>
      <c r="C6" s="91"/>
      <c r="D6" s="37"/>
      <c r="E6" s="78" t="s">
        <v>14</v>
      </c>
      <c r="F6" s="77">
        <v>135</v>
      </c>
      <c r="K6" s="37"/>
      <c r="X6" s="47"/>
      <c r="Y6" s="48"/>
      <c r="Z6" s="49"/>
      <c r="AA6" s="50"/>
      <c r="AB6" s="40"/>
    </row>
    <row r="7" spans="1:43">
      <c r="B7" s="90" t="s">
        <v>82</v>
      </c>
      <c r="C7" s="91">
        <v>400</v>
      </c>
      <c r="D7" s="37"/>
      <c r="E7" s="79" t="s">
        <v>83</v>
      </c>
      <c r="F7" s="80">
        <f>SUM(F4:F6)</f>
        <v>1493</v>
      </c>
      <c r="K7" s="37"/>
      <c r="X7" s="47"/>
      <c r="Y7" s="48"/>
      <c r="Z7" s="49"/>
      <c r="AA7" s="51"/>
      <c r="AB7" s="44"/>
    </row>
    <row r="8" spans="1:43">
      <c r="B8" s="90" t="s">
        <v>84</v>
      </c>
      <c r="C8" s="91">
        <v>300</v>
      </c>
      <c r="D8" s="37"/>
      <c r="E8" s="81" t="s">
        <v>85</v>
      </c>
      <c r="F8" s="77"/>
      <c r="K8" s="37"/>
      <c r="X8" s="47"/>
      <c r="Y8" s="48"/>
      <c r="Z8" s="49"/>
      <c r="AA8" s="51"/>
      <c r="AB8" s="40"/>
    </row>
    <row r="9" spans="1:43">
      <c r="B9" s="90" t="s">
        <v>86</v>
      </c>
      <c r="C9" s="91">
        <v>200</v>
      </c>
      <c r="D9" s="37"/>
      <c r="E9" s="82" t="s">
        <v>8</v>
      </c>
      <c r="F9" s="83">
        <v>5000</v>
      </c>
      <c r="K9" s="37"/>
      <c r="X9" s="47"/>
      <c r="Y9" s="48"/>
      <c r="Z9" s="49"/>
      <c r="AA9" s="50"/>
      <c r="AB9" s="40"/>
    </row>
    <row r="10" spans="1:43">
      <c r="B10" s="90" t="s">
        <v>87</v>
      </c>
      <c r="C10" s="91">
        <v>100</v>
      </c>
      <c r="D10" s="37"/>
      <c r="E10" s="72" t="s">
        <v>88</v>
      </c>
      <c r="F10" s="73">
        <f>SUM(F7, F9)</f>
        <v>6493</v>
      </c>
      <c r="K10" s="34"/>
      <c r="L10" s="34"/>
      <c r="X10" s="47"/>
      <c r="Y10" s="48"/>
      <c r="Z10" s="49"/>
      <c r="AA10" s="52"/>
      <c r="AB10" s="40"/>
    </row>
    <row r="11" spans="1:43">
      <c r="B11" s="90" t="s">
        <v>89</v>
      </c>
      <c r="C11" s="91">
        <v>400</v>
      </c>
      <c r="D11" s="37"/>
      <c r="E11" s="84"/>
      <c r="F11" s="77"/>
      <c r="K11" s="34"/>
      <c r="X11" s="47"/>
      <c r="Y11" s="48"/>
      <c r="Z11" s="49"/>
      <c r="AA11" s="53"/>
      <c r="AB11" s="40"/>
    </row>
    <row r="12" spans="1:43">
      <c r="B12" s="92" t="s">
        <v>90</v>
      </c>
      <c r="C12" s="77"/>
      <c r="D12" s="37"/>
      <c r="E12" s="84"/>
      <c r="F12" s="77"/>
      <c r="K12" s="37"/>
      <c r="L12" s="38"/>
      <c r="X12" s="54"/>
      <c r="Y12" s="40"/>
      <c r="Z12" s="49"/>
      <c r="AA12" s="53"/>
      <c r="AB12" s="40"/>
    </row>
    <row r="13" spans="1:43">
      <c r="B13" s="93" t="s">
        <v>2</v>
      </c>
      <c r="C13" s="83">
        <v>1200</v>
      </c>
      <c r="D13" s="37"/>
      <c r="E13" s="84"/>
      <c r="F13" s="77"/>
      <c r="K13" s="37"/>
      <c r="L13" s="38"/>
      <c r="X13" s="55"/>
      <c r="Y13" s="40"/>
      <c r="Z13" s="49"/>
      <c r="AA13" s="53"/>
      <c r="AB13" s="40"/>
    </row>
    <row r="14" spans="1:43">
      <c r="B14" s="68" t="s">
        <v>91</v>
      </c>
      <c r="C14" s="69">
        <f>SUM(C6:C11, C13)</f>
        <v>2600</v>
      </c>
      <c r="D14" s="37"/>
      <c r="E14" s="84"/>
      <c r="F14" s="77"/>
      <c r="K14" s="34"/>
      <c r="L14" s="38"/>
      <c r="X14" s="56"/>
      <c r="Y14" s="57"/>
      <c r="Z14" s="49"/>
      <c r="AA14" s="53"/>
      <c r="AB14" s="40"/>
    </row>
    <row r="15" spans="1:43">
      <c r="B15" s="94" t="s">
        <v>92</v>
      </c>
      <c r="C15" s="77"/>
      <c r="D15" s="37"/>
      <c r="E15" s="85" t="s">
        <v>93</v>
      </c>
      <c r="F15" s="77"/>
      <c r="K15" s="34"/>
      <c r="L15" s="34"/>
      <c r="X15" s="44"/>
      <c r="Y15" s="40"/>
      <c r="Z15" s="49"/>
      <c r="AA15" s="44"/>
      <c r="AB15" s="40"/>
    </row>
    <row r="16" spans="1:43">
      <c r="B16" s="76" t="s">
        <v>4</v>
      </c>
      <c r="C16" s="77">
        <v>660</v>
      </c>
      <c r="D16" s="37"/>
      <c r="E16" s="86" t="s">
        <v>6</v>
      </c>
      <c r="F16" s="77">
        <v>10000</v>
      </c>
      <c r="X16" s="46"/>
      <c r="Y16" s="40"/>
      <c r="Z16" s="49"/>
      <c r="AA16" s="40"/>
      <c r="AB16" s="40"/>
    </row>
    <row r="17" spans="2:28">
      <c r="B17" s="76" t="s">
        <v>11</v>
      </c>
      <c r="C17" s="83">
        <v>956</v>
      </c>
      <c r="D17" s="37"/>
      <c r="E17" s="87"/>
      <c r="F17" s="77"/>
      <c r="X17" s="46"/>
      <c r="Y17" s="40"/>
      <c r="Z17" s="49"/>
      <c r="AA17" s="40"/>
      <c r="AB17" s="40"/>
    </row>
    <row r="18" spans="2:28">
      <c r="B18" s="76" t="s">
        <v>94</v>
      </c>
      <c r="C18" s="77">
        <v>0</v>
      </c>
      <c r="D18" s="34"/>
      <c r="E18" s="88" t="s">
        <v>95</v>
      </c>
      <c r="F18" s="83">
        <v>-1448</v>
      </c>
      <c r="X18" s="46"/>
      <c r="Y18" s="40"/>
      <c r="Z18" s="44"/>
      <c r="AA18" s="42"/>
      <c r="AB18" s="40"/>
    </row>
    <row r="19" spans="2:28">
      <c r="B19" s="76" t="s">
        <v>1</v>
      </c>
      <c r="C19" s="77">
        <v>10000</v>
      </c>
      <c r="D19" s="34"/>
      <c r="E19" s="87"/>
      <c r="F19" s="77"/>
      <c r="X19" s="46"/>
      <c r="Y19" s="40"/>
      <c r="Z19" s="44"/>
      <c r="AA19" s="40"/>
      <c r="AB19" s="40"/>
    </row>
    <row r="20" spans="2:28">
      <c r="B20" s="76" t="s">
        <v>13</v>
      </c>
      <c r="C20" s="77">
        <v>829</v>
      </c>
      <c r="D20" s="34"/>
      <c r="E20" s="87"/>
      <c r="F20" s="77"/>
      <c r="X20" s="46"/>
      <c r="Y20" s="40"/>
      <c r="Z20" s="44"/>
      <c r="AA20" s="40"/>
      <c r="AB20" s="40"/>
    </row>
    <row r="21" spans="2:28">
      <c r="B21" s="76"/>
      <c r="C21" s="77"/>
      <c r="D21" s="34"/>
      <c r="E21" s="87"/>
      <c r="F21" s="77"/>
      <c r="X21" s="46"/>
      <c r="Y21" s="40"/>
      <c r="Z21" s="44"/>
      <c r="AA21" s="40"/>
      <c r="AB21" s="40"/>
    </row>
    <row r="22" spans="2:28">
      <c r="B22" s="94" t="s">
        <v>96</v>
      </c>
      <c r="C22" s="95">
        <f>SUM(C16:C21)</f>
        <v>12445</v>
      </c>
      <c r="D22" s="37"/>
      <c r="E22" s="88" t="s">
        <v>97</v>
      </c>
      <c r="F22" s="83">
        <v>8552</v>
      </c>
      <c r="X22" s="57"/>
      <c r="Y22" s="57"/>
      <c r="Z22" s="49"/>
      <c r="AA22" s="42"/>
      <c r="AB22" s="40"/>
    </row>
    <row r="23" spans="2:28">
      <c r="B23" s="66" t="s">
        <v>98</v>
      </c>
      <c r="C23" s="67">
        <f>SUM(C14,C22)</f>
        <v>15045</v>
      </c>
      <c r="D23" s="37"/>
      <c r="E23" s="66" t="s">
        <v>99</v>
      </c>
      <c r="F23" s="67">
        <f>SUM(F10, F22)</f>
        <v>15045</v>
      </c>
      <c r="X23" s="40"/>
      <c r="Y23" s="40"/>
      <c r="Z23" s="49"/>
      <c r="AA23" s="40"/>
      <c r="AB23" s="40"/>
    </row>
    <row r="24" spans="2:28">
      <c r="D24" s="37"/>
      <c r="X24" s="40"/>
      <c r="Y24" s="40"/>
      <c r="Z24" s="40"/>
      <c r="AA24" s="40"/>
      <c r="AB24" s="40"/>
    </row>
    <row r="25" spans="2:28">
      <c r="D25" s="34"/>
      <c r="E25" s="34"/>
      <c r="X25" s="40"/>
      <c r="Y25" s="40"/>
      <c r="Z25" s="40"/>
      <c r="AA25" s="40"/>
      <c r="AB25" s="40"/>
    </row>
    <row r="26" spans="2:28">
      <c r="D26" s="34"/>
      <c r="E26" s="34"/>
      <c r="X26" s="40"/>
      <c r="Y26" s="40"/>
      <c r="Z26" s="40"/>
      <c r="AA26" s="40"/>
      <c r="AB26" s="4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2025-03-25T14:07:23Z</dcterms:created>
  <dcterms:modified xsi:type="dcterms:W3CDTF">2025-04-01T19:31:10Z</dcterms:modified>
  <cp:category/>
  <cp:contentStatus/>
</cp:coreProperties>
</file>